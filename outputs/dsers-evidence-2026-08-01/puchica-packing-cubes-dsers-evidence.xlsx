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6321271583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unch Summary" sheetId="1" r:id="R1ee4b52637fa49c4"/>
    <x:sheet xmlns:r="http://schemas.openxmlformats.org/officeDocument/2006/relationships" name="Unit Economics" sheetId="2" r:id="R080b082aa35f439b"/>
    <x:sheet xmlns:r="http://schemas.openxmlformats.org/officeDocument/2006/relationships" name="Quote Evidence" sheetId="3" r:id="R505b7613579846ea"/>
    <x:sheet xmlns:r="http://schemas.openxmlformats.org/officeDocument/2006/relationships" name="Sources" sheetId="4" r:id="R5fb9299372fc4f6a"/>
  </x:sheets>
</x:workbook>
</file>

<file path=xl/comments1.xml><?xml version="1.0" encoding="utf-8"?>
<x:comments xmlns:x="http://schemas.openxmlformats.org/spreadsheetml/2006/main">
  <x:authors>
    <x:author>tc={1057A587-B818-9F67-6A96-39BB2FE9CBB2}</x:author>
    <x:author>tc={EE9800BF-7638-E167-523B-543F6180C679}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DSers/AliExpress exact mapped product, 5PCS Set Red, observed 2026-08-01.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DSers Supplier Optimizer and AliExpress DSers API price panel, observed 2026-08-01.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0.0%"/>
    <x:numFmt numFmtId="202" formatCode="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B423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B2E"/>
      </x:patternFill>
    </x:fill>
    <x:fill>
      <x:patternFill patternType="solid">
        <x:fgColor rgb="FF6548FF"/>
      </x:patternFill>
    </x:fill>
    <x:fill>
      <x:patternFill patternType="solid">
        <x:fgColor rgb="FFFDE8E7"/>
      </x:patternFill>
    </x:fill>
    <x:fill>
      <x:patternFill patternType="solid">
        <x:fgColor rgb="FFE5F5EE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5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1" fontId="0" fillId="5" borderId="0" xfId="0" applyNumberFormat="1" applyFont="1" applyFill="1" applyBorder="1"/>
    <x:xf numFmtId="202" fontId="0" fillId="6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1c8eeb15f45c1" /><Relationship Type="http://schemas.openxmlformats.org/officeDocument/2006/relationships/theme" Target="/xl/theme/theme1.xml" Id="R09f5604f1245443b" /><Relationship Type="http://schemas.openxmlformats.org/officeDocument/2006/relationships/sharedStrings" Target="/xl/sharedStrings.xml" Id="Rc30383e70bef4332" /><Relationship Type="http://schemas.openxmlformats.org/officeDocument/2006/relationships/worksheet" Target="/xl/worksheets/sheet1.xml" Id="R1ee4b52637fa49c4" /><Relationship Type="http://schemas.openxmlformats.org/officeDocument/2006/relationships/worksheet" Target="/xl/worksheets/sheet2.xml" Id="R080b082aa35f439b" /><Relationship Type="http://schemas.openxmlformats.org/officeDocument/2006/relationships/worksheet" Target="/xl/worksheets/sheet3.xml" Id="R505b7613579846ea" /><Relationship Type="http://schemas.openxmlformats.org/officeDocument/2006/relationships/worksheet" Target="/xl/worksheets/sheet4.xml" Id="R5fb9299372fc4f6a" /><Relationship Type="http://schemas.microsoft.com/office/2017/10/relationships/person" Target="/xl/persons/person.xml" Id="R0be35b92ab904961" /></Relationships>
</file>

<file path=xl/persons/person.xml><?xml version="1.0" encoding="utf-8"?>
<xltc:personList xmlns:xltc="http://schemas.microsoft.com/office/spreadsheetml/2018/threadedcomments">
  <xltc:person displayName="dchavez3395" id="{14E6EB5D-C873-43E0-8A76-5CC1F8449A6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01T23:55:26.444" personId="{14E6EB5D-C873-43E0-8A76-5CC1F8449A64}" id="{1057A587-B818-9F67-6A96-39BB2FE9CBB2}">
    <xltc:text>Source: DSers/AliExpress exact mapped product, 5PCS Set Red, observed 2026-08-01.</xltc:text>
  </xltc:threadedComment>
  <xltc:threadedComment ref="B6" dT="2026-08-01T23:55:26.45" personId="{14E6EB5D-C873-43E0-8A76-5CC1F8449A64}" id="{EE9800BF-7638-E167-523B-543F6180C679}">
    <xltc:text>Source: DSers Supplier Optimizer and AliExpress DSers API price panel, observed 2026-08-01.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8ae46a79f354cd7" /><Relationship Type="http://schemas.openxmlformats.org/officeDocument/2006/relationships/vmlDrawing" Target="/xl/drawings/vmldrawing.vml" Id="R2c0d09cdb1274bd7" /><Relationship Type="http://schemas.microsoft.com/office/2017/10/relationships/threadedComment" Target="/xl/threadedcomments/threadedcomment.xml" Id="Rc9455da2185c42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1" hidden="0" customWidth="1"/>
    <x:col min="3" max="3" width="28" hidden="0" customWidth="1"/>
    <x:col min="4" max="4" width="28" hidden="0" customWidth="1"/>
    <x:col min="5" max="5" width="28" hidden="0" customWidth="1"/>
    <x:col min="6" max="6" width="6.25" hidden="0" customWidth="1"/>
  </x:cols>
  <x:sheetData>
    <x:row r="1" ht="21.600000381469727" hidden="0" customHeight="1">
      <x:c r="A1" s="23" t="str">
        <x:v>Puchica · Packing Cubes Launch Gate</x:v>
      </x:c>
      <x:c r="B1" s="24"/>
      <x:c r="C1" s="24"/>
      <x:c r="D1" s="24"/>
      <x:c r="E1" s="24"/>
      <x:c r="F1" s="24"/>
    </x:row>
    <x:row r="2" ht="15" hidden="0" customHeight="1">
      <x:c r="A2" s="24" t="str">
        <x:v>Exact offer: Red 5-Piece Compression Packing Cube Set · 5PCS Set Red</x:v>
      </x:c>
      <x:c r="B2" s="24"/>
      <x:c r="C2" s="24"/>
      <x:c r="D2" s="24"/>
      <x:c r="E2" s="24"/>
      <x:c r="F2" s="24"/>
    </x:row>
    <x:row r="3" ht="15" hidden="0" customHeight="1">
      <x:c r="A3" s="24"/>
      <x:c r="B3" s="24"/>
      <x:c r="C3" s="24"/>
      <x:c r="D3" s="24"/>
      <x:c r="E3" s="24"/>
      <x:c r="F3" s="24"/>
    </x:row>
    <x:row r="4" ht="15" hidden="0" customHeight="1">
      <x:c r="A4" s="24" t="str">
        <x:v>Decision</x:v>
      </x:c>
      <x:c r="B4" s="25" t="str">
        <x:v>NO-GO — ZIP evidence incomplete</x:v>
      </x:c>
      <x:c r="C4" s="24"/>
      <x:c r="D4" s="24"/>
      <x:c r="E4" s="24"/>
      <x:c r="F4" s="24"/>
    </x:row>
    <x:row r="5" ht="15" hidden="0" customHeight="1">
      <x:c r="A5" s="24" t="str">
        <x:v>Storefront price</x:v>
      </x:c>
      <x:c r="B5" s="26" t="n">
        <x:v>53</x:v>
      </x:c>
      <x:c r="C5" s="24"/>
      <x:c r="D5" s="24"/>
      <x:c r="E5" s="24"/>
      <x:c r="F5" s="24"/>
    </x:row>
    <x:row r="6" ht="15" hidden="0" customHeight="1">
      <x:c r="A6" s="24" t="str">
        <x:v>Country-level landed supply cost</x:v>
      </x:c>
      <x:c r="B6" s="27" t="n">
        <x:f>'Unit Economics'!B8</x:f>
        <x:v>22.38</x:v>
      </x:c>
      <x:c r="C6" s="24"/>
      <x:c r="D6" s="24"/>
      <x:c r="E6" s="24"/>
      <x:c r="F6" s="24"/>
    </x:row>
    <x:row r="7" ht="15" hidden="0" customHeight="1">
      <x:c r="A7" s="24" t="str">
        <x:v>Pre-ad contribution</x:v>
      </x:c>
      <x:c r="B7" s="27" t="n">
        <x:f>'Unit Economics'!B14</x:f>
        <x:v>26.133000000000003</x:v>
      </x:c>
      <x:c r="C7" s="24"/>
      <x:c r="D7" s="24"/>
      <x:c r="E7" s="24"/>
      <x:c r="F7" s="24"/>
    </x:row>
    <x:row r="8" ht="15" hidden="0" customHeight="1">
      <x:c r="A8" s="24" t="str">
        <x:v>Break-even CPA</x:v>
      </x:c>
      <x:c r="B8" s="27" t="n">
        <x:f>'Unit Economics'!B16</x:f>
        <x:v>26.133000000000003</x:v>
      </x:c>
      <x:c r="C8" s="24"/>
      <x:c r="D8" s="24"/>
      <x:c r="E8" s="24"/>
      <x:c r="F8" s="24"/>
    </x:row>
    <x:row r="9" ht="15" hidden="0" customHeight="1">
      <x:c r="A9" s="24" t="str">
        <x:v>Target test CPA (70% of break-even)</x:v>
      </x:c>
      <x:c r="B9" s="27" t="n">
        <x:f>'Unit Economics'!B19</x:f>
        <x:v>18.2931</x:v>
      </x:c>
      <x:c r="C9" s="24"/>
      <x:c r="D9" s="24"/>
      <x:c r="E9" s="24"/>
      <x:c r="F9" s="24"/>
    </x:row>
    <x:row r="10" ht="15" hidden="0" customHeight="1">
      <x:c r="A10" s="24"/>
      <x:c r="B10" s="24"/>
      <x:c r="C10" s="24"/>
      <x:c r="D10" s="24"/>
      <x:c r="E10" s="24"/>
      <x:c r="F10" s="24"/>
    </x:row>
    <x:row r="11" ht="15" hidden="0" customHeight="1">
      <x:c r="A11" s="28" t="str">
        <x:v>Gate</x:v>
      </x:c>
      <x:c r="B11" s="28" t="str">
        <x:v>Status</x:v>
      </x:c>
      <x:c r="C11" s="28" t="str">
        <x:v>Evidence</x:v>
      </x:c>
      <x:c r="D11" s="28" t="str">
        <x:v>Risk</x:v>
      </x:c>
      <x:c r="E11" s="28" t="str">
        <x:v>Required action</x:v>
      </x:c>
      <x:c r="F11" s="28" t="str">
        <x:v>Owner</x:v>
      </x:c>
    </x:row>
    <x:row r="12" ht="15" hidden="0" customHeight="1">
      <x:c r="A12" s="24" t="str">
        <x:v>Exact variant cost</x:v>
      </x:c>
      <x:c r="B12" s="24" t="str">
        <x:v>PASS</x:v>
      </x:c>
      <x:c r="C12" s="24" t="str">
        <x:v>US$20.39 DSers API cost</x:v>
      </x:c>
      <x:c r="D12" s="24" t="str">
        <x:v>Cost can change</x:v>
      </x:c>
      <x:c r="E12" s="24" t="str">
        <x:v>Recheck before each ad test</x:v>
      </x:c>
      <x:c r="F12" s="24" t="str">
        <x:v>Puchica</x:v>
      </x:c>
    </x:row>
    <x:row r="13" ht="26.399999618530273" hidden="0" customHeight="1">
      <x:c r="A13" s="24" t="str">
        <x:v>U.S. shipping method</x:v>
      </x:c>
      <x:c r="B13" s="24" t="str">
        <x:v>PARTIAL</x:v>
      </x:c>
      <x:c r="C13" s="24" t="str">
        <x:v>US$1.99 · AliExpress Selection Standard · 6 days</x:v>
      </x:c>
      <x:c r="D13" s="24" t="str">
        <x:v>Country-level only</x:v>
      </x:c>
      <x:c r="E13" s="24" t="str">
        <x:v>Capture ZIP 10001 and ZIP 90001 quotes</x:v>
      </x:c>
      <x:c r="F13" s="24" t="str">
        <x:v>Puchica</x:v>
      </x:c>
    </x:row>
    <x:row r="14" ht="26.399999618530273" hidden="0" customHeight="1">
      <x:c r="A14" s="24" t="str">
        <x:v>Controlled sample order</x:v>
      </x:c>
      <x:c r="B14" s="24" t="str">
        <x:v>PENDING</x:v>
      </x:c>
      <x:c r="C14" s="24" t="str">
        <x:v>No completed U.S. sample</x:v>
      </x:c>
      <x:c r="D14" s="24" t="str">
        <x:v>Quality and timing unknown</x:v>
      </x:c>
      <x:c r="E14" s="24" t="str">
        <x:v>Order exact red five-piece set to a U.S. recipient</x:v>
      </x:c>
      <x:c r="F14" s="24" t="str">
        <x:v>Puchica</x:v>
      </x:c>
    </x:row>
    <x:row r="15" ht="26.399999618530273" hidden="0" customHeight="1">
      <x:c r="A15" s="24" t="str">
        <x:v>Paid traffic</x:v>
      </x:c>
      <x:c r="B15" s="24" t="str">
        <x:v>BLOCKED</x:v>
      </x:c>
      <x:c r="C15" s="24" t="str">
        <x:v>Launch checker fails closed</x:v>
      </x:c>
      <x:c r="D15" s="24" t="str">
        <x:v>Unverified fulfillment</x:v>
      </x:c>
      <x:c r="E15" s="24" t="str">
        <x:v>Unlock only after both ZIP quotes and sample pass</x:v>
      </x:c>
      <x:c r="F15" s="24" t="str">
        <x:v>Puchica</x:v>
      </x:c>
    </x:row>
    <x:row r="16" ht="15" hidden="0" customHeight="1">
      <x:c r="A16" s="24"/>
      <x:c r="B16" s="24"/>
      <x:c r="C16" s="24"/>
      <x:c r="D16" s="24"/>
      <x:c r="E16" s="24"/>
      <x:c r="F16" s="24"/>
    </x:row>
    <x:row r="17" ht="15" hidden="0" customHeight="1">
      <x:c r="A17" s="24" t="str">
        <x:v>Interpretation</x:v>
      </x:c>
      <x:c r="B17" s="24"/>
      <x:c r="C17" s="24"/>
      <x:c r="D17" s="24"/>
      <x:c r="E17" s="24"/>
      <x:c r="F17" s="24"/>
    </x:row>
    <x:row r="18" ht="15" hidden="0" customHeight="1">
      <x:c r="A18" s="24" t="str">
        <x:v>The country-level economics are promising, but they are not sufficient evidence for paid traffic. DSers did not expose destination-ZIP pricing in the supplier optimizer, so both ZIP gates remain pending.</x:v>
      </x:c>
      <x:c r="B18" s="24"/>
      <x:c r="C18" s="24"/>
      <x:c r="D18" s="24"/>
      <x:c r="E18" s="24"/>
      <x:c r="F18" s="24"/>
    </x:row>
    <x:row r="19" ht="15" hidden="0" customHeight="1">
      <x:c r="A19" s="24" t="str">
        <x:v>No order was placed and no supplier mapping was changed during this review.</x:v>
      </x:c>
      <x:c r="B19" s="24"/>
      <x:c r="C19" s="24"/>
      <x:c r="D19" s="24"/>
      <x:c r="E19" s="24"/>
      <x:c r="F19" s="24"/>
    </x:row>
  </x:sheetData>
  <x:mergeCells>
    <x:mergeCell ref="A1:F1"/>
    <x:mergeCell ref="A2:F2"/>
    <x:mergeCell ref="A17:F17"/>
    <x:mergeCell ref="A18:F18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48" hidden="0" customWidth="1"/>
  </x:cols>
  <x:sheetData>
    <x:row r="1" ht="21.600000381469727" hidden="0" customHeight="1">
      <x:c r="A1" s="23" t="str">
        <x:v>Country-Level Unit Economics · USD</x:v>
      </x:c>
      <x:c r="B1" s="24"/>
      <x:c r="C1" s="24"/>
      <x:c r="D1" s="24"/>
    </x:row>
    <x:row r="2" ht="15" hidden="0" customHeight="1">
      <x:c r="A2" s="24"/>
      <x:c r="B2" s="24"/>
      <x:c r="C2" s="24"/>
      <x:c r="D2" s="24"/>
    </x:row>
    <x:row r="3" ht="15" hidden="0" customHeight="1">
      <x:c r="A3" s="28" t="str">
        <x:v>Input / metric</x:v>
      </x:c>
      <x:c r="B3" s="28" t="str">
        <x:v>Value</x:v>
      </x:c>
      <x:c r="C3" s="28" t="str">
        <x:v>Type</x:v>
      </x:c>
      <x:c r="D3" s="28" t="str">
        <x:v>Notes</x:v>
      </x:c>
    </x:row>
    <x:row r="4" ht="26.399999618530273" hidden="0" customHeight="1">
      <x:c r="A4" s="24" t="str">
        <x:v>Storefront merchandise price</x:v>
      </x:c>
      <x:c r="B4" s="33" t="n">
        <x:v>53</x:v>
      </x:c>
      <x:c r="C4" s="24" t="str">
        <x:v>Observed input</x:v>
      </x:c>
      <x:c r="D4" s="24" t="str">
        <x:v>Verified production campaign, PDP, and cart price on 2026-08-01</x:v>
      </x:c>
    </x:row>
    <x:row r="5" ht="15" hidden="0" customHeight="1">
      <x:c r="A5" s="24" t="str">
        <x:v>DSers stable API item cost</x:v>
      </x:c>
      <x:c r="B5" s="33" t="n">
        <x:v>20.39</x:v>
      </x:c>
      <x:c r="C5" s="24" t="str">
        <x:v>Observed input</x:v>
      </x:c>
      <x:c r="D5" s="24" t="str">
        <x:v>Exact 5PCS Set Red variant</x:v>
      </x:c>
    </x:row>
    <x:row r="6" ht="15" hidden="0" customHeight="1">
      <x:c r="A6" s="24" t="str">
        <x:v>Supplier shipping</x:v>
      </x:c>
      <x:c r="B6" s="33" t="n">
        <x:v>1.99</x:v>
      </x:c>
      <x:c r="C6" s="24" t="str">
        <x:v>Observed input</x:v>
      </x:c>
      <x:c r="D6" s="24" t="str">
        <x:v>AliExpress Selection Standard; U.S. country level</x:v>
      </x:c>
    </x:row>
    <x:row r="7" ht="15" hidden="0" customHeight="1">
      <x:c r="A7" s="24" t="str">
        <x:v>Other landed charges</x:v>
      </x:c>
      <x:c r="B7" s="33" t="n">
        <x:v>0</x:v>
      </x:c>
      <x:c r="C7" s="24" t="str">
        <x:v>Assumption</x:v>
      </x:c>
      <x:c r="D7" s="24" t="str">
        <x:v>Duty, brokerage, tax, handling not yet evidenced</x:v>
      </x:c>
    </x:row>
    <x:row r="8" ht="15" hidden="0" customHeight="1">
      <x:c r="A8" s="24" t="str">
        <x:v>Landed supply cost</x:v>
      </x:c>
      <x:c r="B8" s="27" t="n">
        <x:f>SUM(B5:B7)</x:f>
        <x:v>22.38</x:v>
      </x:c>
      <x:c r="C8" s="24" t="str">
        <x:v>Formula</x:v>
      </x:c>
      <x:c r="D8" s="24" t="str">
        <x:v>Item + supplier shipping + other landed charges</x:v>
      </x:c>
    </x:row>
    <x:row r="9" ht="15" hidden="0" customHeight="1">
      <x:c r="A9" s="24" t="str">
        <x:v>Payment percentage</x:v>
      </x:c>
      <x:c r="B9" s="34" t="n">
        <x:v>0.029</x:v>
      </x:c>
      <x:c r="C9" s="24" t="str">
        <x:v>Assumption</x:v>
      </x:c>
      <x:c r="D9" s="24" t="str">
        <x:v>Replace with actual Shopify Payments rate</x:v>
      </x:c>
    </x:row>
    <x:row r="10" ht="15" hidden="0" customHeight="1">
      <x:c r="A10" s="24" t="str">
        <x:v>Payment fixed fee</x:v>
      </x:c>
      <x:c r="B10" s="33" t="n">
        <x:v>0.3</x:v>
      </x:c>
      <x:c r="C10" s="24" t="str">
        <x:v>Assumption</x:v>
      </x:c>
      <x:c r="D10" s="24" t="str">
        <x:v>Replace with actual Shopify Payments fee</x:v>
      </x:c>
    </x:row>
    <x:row r="11" ht="15" hidden="0" customHeight="1">
      <x:c r="A11" s="24" t="str">
        <x:v>Payment fee</x:v>
      </x:c>
      <x:c r="B11" s="27" t="n">
        <x:f>B4*B9+B10</x:f>
        <x:v>1.8370000000000002</x:v>
      </x:c>
      <x:c r="C11" s="24" t="str">
        <x:v>Formula</x:v>
      </x:c>
      <x:c r="D11" s="24" t="str">
        <x:v>Price × percentage + fixed fee</x:v>
      </x:c>
    </x:row>
    <x:row r="12" ht="15" hidden="0" customHeight="1">
      <x:c r="A12" s="24" t="str">
        <x:v>Return/refund reserve</x:v>
      </x:c>
      <x:c r="B12" s="34" t="n">
        <x:v>0.05</x:v>
      </x:c>
      <x:c r="C12" s="24" t="str">
        <x:v>Assumption</x:v>
      </x:c>
      <x:c r="D12" s="24" t="str">
        <x:v>Conservative placeholder until real return data exists</x:v>
      </x:c>
    </x:row>
    <x:row r="13" ht="15" hidden="0" customHeight="1">
      <x:c r="A13" s="24" t="str">
        <x:v>Return/refund reserve amount</x:v>
      </x:c>
      <x:c r="B13" s="27" t="n">
        <x:f>B4*B12</x:f>
        <x:v>2.6500000000000004</x:v>
      </x:c>
      <x:c r="C13" s="24" t="str">
        <x:v>Formula</x:v>
      </x:c>
      <x:c r="D13" s="24" t="str">
        <x:v>Price × reserve rate</x:v>
      </x:c>
    </x:row>
    <x:row r="14" ht="15" hidden="0" customHeight="1">
      <x:c r="A14" s="24" t="str">
        <x:v>Pre-ad contribution</x:v>
      </x:c>
      <x:c r="B14" s="27" t="n">
        <x:f>B4-B8-B11-B13</x:f>
        <x:v>26.133000000000003</x:v>
      </x:c>
      <x:c r="C14" s="24" t="str">
        <x:v>Formula</x:v>
      </x:c>
      <x:c r="D14" s="24" t="str">
        <x:v>Price − landed cost − payment fee − reserve</x:v>
      </x:c>
    </x:row>
    <x:row r="15" ht="15" hidden="0" customHeight="1">
      <x:c r="A15" s="24" t="str">
        <x:v>Pre-ad contribution margin</x:v>
      </x:c>
      <x:c r="B15" s="35" t="n">
        <x:f>B14/B4</x:f>
        <x:v>0.4930754716981133</x:v>
      </x:c>
      <x:c r="C15" s="24" t="str">
        <x:v>Formula</x:v>
      </x:c>
      <x:c r="D15" s="24" t="str">
        <x:v>Contribution ÷ price</x:v>
      </x:c>
    </x:row>
    <x:row r="16" ht="15" hidden="0" customHeight="1">
      <x:c r="A16" s="24" t="str">
        <x:v>Break-even CPA</x:v>
      </x:c>
      <x:c r="B16" s="27" t="n">
        <x:f>B14</x:f>
        <x:v>26.133000000000003</x:v>
      </x:c>
      <x:c r="C16" s="24" t="str">
        <x:v>Formula</x:v>
      </x:c>
      <x:c r="D16" s="24" t="str">
        <x:v>Maximum acquisition cost before contribution reaches zero</x:v>
      </x:c>
    </x:row>
    <x:row r="17" ht="15" hidden="0" customHeight="1">
      <x:c r="A17" s="24"/>
      <x:c r="B17" s="24"/>
      <x:c r="C17" s="24"/>
      <x:c r="D17" s="24"/>
    </x:row>
    <x:row r="18" ht="15" hidden="0" customHeight="1">
      <x:c r="A18" s="24" t="str">
        <x:v>Target test CPA factor</x:v>
      </x:c>
      <x:c r="B18" s="36" t="n">
        <x:v>0.7</x:v>
      </x:c>
      <x:c r="C18" s="24"/>
      <x:c r="D18" s="24"/>
    </x:row>
    <x:row r="19" ht="15" hidden="0" customHeight="1">
      <x:c r="A19" s="24" t="str">
        <x:v>Target test CPA</x:v>
      </x:c>
      <x:c r="B19" s="27" t="n">
        <x:f>B16*B18</x:f>
        <x:v>18.2931</x:v>
      </x:c>
      <x:c r="C19" s="24"/>
      <x:c r="D19" s="24"/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2c0d09cdb1274bd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2" hidden="0" customWidth="1"/>
  </x:cols>
  <x:sheetData>
    <x:row r="1" ht="21.600000381469727" hidden="0" customHeight="1">
      <x:c r="A1" s="23" t="str">
        <x:v>DSers / AliExpress Quote Evidence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15" hidden="0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5" hidden="0" customHeight="1">
      <x:c r="A3" s="28" t="str">
        <x:v>Scope</x:v>
      </x:c>
      <x:c r="B3" s="28" t="str">
        <x:v>Destination</x:v>
      </x:c>
      <x:c r="C3" s="28" t="str">
        <x:v>Item cost</x:v>
      </x:c>
      <x:c r="D3" s="28" t="str">
        <x:v>Shipping</x:v>
      </x:c>
      <x:c r="E3" s="28" t="str">
        <x:v>Landed cost</x:v>
      </x:c>
      <x:c r="F3" s="28" t="str">
        <x:v>Service</x:v>
      </x:c>
      <x:c r="G3" s="28" t="str">
        <x:v>Delivery</x:v>
      </x:c>
      <x:c r="H3" s="28" t="str">
        <x:v>Tracking</x:v>
      </x:c>
      <x:c r="I3" s="28" t="str">
        <x:v>Gate status</x:v>
      </x:c>
      <x:c r="J3" s="28" t="str">
        <x:v>Notes</x:v>
      </x:c>
    </x:row>
    <x:row r="4" ht="26.399999618530273" hidden="0" customHeight="1">
      <x:c r="A4" s="24" t="str">
        <x:v>Observed country quote</x:v>
      </x:c>
      <x:c r="B4" s="24" t="str">
        <x:v>United States</x:v>
      </x:c>
      <x:c r="C4" s="26" t="n">
        <x:v>20.39</x:v>
      </x:c>
      <x:c r="D4" s="26" t="n">
        <x:v>1.99</x:v>
      </x:c>
      <x:c r="E4" s="26" t="n">
        <x:f>C4+D4</x:f>
        <x:v>22.38</x:v>
      </x:c>
      <x:c r="F4" s="24" t="str">
        <x:v>AliExpress Selection Standard</x:v>
      </x:c>
      <x:c r="G4" s="24" t="str">
        <x:v>6 days shown by DSers optimizer</x:v>
      </x:c>
      <x:c r="H4" s="24" t="str">
        <x:v>Not evidenced</x:v>
      </x:c>
      <x:c r="I4" s="24" t="str">
        <x:v>PARTIAL</x:v>
      </x:c>
      <x:c r="J4" s="24" t="str">
        <x:v>Exact 5PCS Set Red; stable DSers API cost</x:v>
      </x:c>
    </x:row>
    <x:row r="5" ht="15" hidden="0" customHeight="1">
      <x:c r="A5" s="24" t="str">
        <x:v>Required ZIP quote</x:v>
      </x:c>
      <x:c r="B5" s="24" t="str">
        <x:v>10001</x:v>
      </x:c>
      <x:c r="C5" s="26"/>
      <x:c r="D5" s="26"/>
      <x:c r="E5" s="26"/>
      <x:c r="F5" s="24"/>
      <x:c r="G5" s="24"/>
      <x:c r="H5" s="24"/>
      <x:c r="I5" s="24" t="str">
        <x:v>PENDING</x:v>
      </x:c>
      <x:c r="J5" s="24" t="str">
        <x:v>DSers optimizer did not expose ZIP-specific pricing</x:v>
      </x:c>
    </x:row>
    <x:row r="6" ht="15" hidden="0" customHeight="1">
      <x:c r="A6" s="24" t="str">
        <x:v>Required ZIP quote</x:v>
      </x:c>
      <x:c r="B6" s="24" t="str">
        <x:v>90001</x:v>
      </x:c>
      <x:c r="C6" s="26"/>
      <x:c r="D6" s="26"/>
      <x:c r="E6" s="26"/>
      <x:c r="F6" s="24"/>
      <x:c r="G6" s="24"/>
      <x:c r="H6" s="24"/>
      <x:c r="I6" s="24" t="str">
        <x:v>PENDING</x:v>
      </x:c>
      <x:c r="J6" s="24" t="str">
        <x:v>DSers optimizer did not expose ZIP-specific pricing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24" hidden="0" customWidth="1"/>
    <x:col min="4" max="4" width="42" hidden="0" customWidth="1"/>
  </x:cols>
  <x:sheetData>
    <x:row r="1" ht="21.600000381469727" hidden="0" customHeight="1">
      <x:c r="A1" s="23" t="str">
        <x:v>Evidence Sources</x:v>
      </x:c>
      <x:c r="B1" s="24"/>
      <x:c r="C1" s="24"/>
      <x:c r="D1" s="24"/>
    </x:row>
    <x:row r="2" ht="15" hidden="0" customHeight="1">
      <x:c r="A2" s="24"/>
      <x:c r="B2" s="24"/>
      <x:c r="C2" s="24"/>
      <x:c r="D2" s="24"/>
    </x:row>
    <x:row r="3" ht="15" hidden="0" customHeight="1">
      <x:c r="A3" s="28" t="str">
        <x:v>Source</x:v>
      </x:c>
      <x:c r="B3" s="28" t="str">
        <x:v>URL / identifier</x:v>
      </x:c>
      <x:c r="C3" s="28" t="str">
        <x:v>Observed</x:v>
      </x:c>
      <x:c r="D3" s="28" t="str">
        <x:v>Use</x:v>
      </x:c>
    </x:row>
    <x:row r="4" ht="15" hidden="0" customHeight="1">
      <x:c r="A4" s="24" t="str">
        <x:v>DSers My Products</x:v>
      </x:c>
      <x:c r="B4" s="24" t="str">
        <x:v>https://www.dsers.com/application/my_products</x:v>
      </x:c>
      <x:c r="C4" s="24" t="str">
        <x:v>2026-08-01</x:v>
      </x:c>
      <x:c r="D4" s="24" t="str">
        <x:v>Mapped product, price range, stock</x:v>
      </x:c>
    </x:row>
    <x:row r="5" ht="26.399999618530273" hidden="0" customHeight="1">
      <x:c r="A5" s="24" t="str">
        <x:v>DSers Supplier Optimizer</x:v>
      </x:c>
      <x:c r="B5" s="24" t="str">
        <x:v>https://www.dsers.com/application/supplier_optimizer</x:v>
      </x:c>
      <x:c r="C5" s="24" t="str">
        <x:v>2026-08-01</x:v>
      </x:c>
      <x:c r="D5" s="24" t="str">
        <x:v>Current supplier, service, U.S. country shipping and ratings</x:v>
      </x:c>
    </x:row>
    <x:row r="6" ht="15" hidden="0" customHeight="1">
      <x:c r="A6" s="24" t="str">
        <x:v>AliExpress exact supplier product</x:v>
      </x:c>
      <x:c r="B6" s="24" t="str">
        <x:v>https://www.aliexpress.us/item/3256808381735696.html</x:v>
      </x:c>
      <x:c r="C6" s="24" t="str">
        <x:v>2026-08-01</x:v>
      </x:c>
      <x:c r="D6" s="24" t="str">
        <x:v>Exact 5PCS Set Red API cost and shipping confirmation</x:v>
      </x:c>
    </x:row>
  </x:sheetData>
  <x:mergeCells>
    <x:mergeCell ref="A1:D1"/>
  </x:mergeCells>
  <x:pageMargins left="0.7" right="0.7" top="0.75" bottom="0.75" header="0.3" footer="0.3"/>
</x:worksheet>
</file>